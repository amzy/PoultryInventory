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ultry Daily Log" sheetId="1" r:id="rId4"/>
  </sheets>
  <definedNames/>
  <calcPr/>
  <extLst>
    <ext uri="GoogleSheetsCustomDataVersion2">
      <go:sheetsCustomData xmlns:go="http://customooxmlschemas.google.com/" r:id="rId5" roundtripDataChecksum="VasNLe8wpJpTq0V2eFEtfo7pifsi6BuUghFAN8D1bq4="/>
    </ext>
  </extLst>
</workbook>
</file>

<file path=xl/sharedStrings.xml><?xml version="1.0" encoding="utf-8"?>
<sst xmlns="http://schemas.openxmlformats.org/spreadsheetml/2006/main" count="49" uniqueCount="49">
  <si>
    <t>DAILY POULTRY LAYER PRODUCTION LOG</t>
  </si>
  <si>
    <t>Optimized for 131-Day point-of-lay flock. Target FCR: 1.40 - 1.55 kg/Doz | Peak Lay Target: 85%+</t>
  </si>
  <si>
    <t>Date</t>
  </si>
  <si>
    <t>Flock Age
(Days)</t>
  </si>
  <si>
    <t>Starting
Birds</t>
  </si>
  <si>
    <t>Mortality
(Deaths)</t>
  </si>
  <si>
    <t>Culls</t>
  </si>
  <si>
    <t>Ending
Birds</t>
  </si>
  <si>
    <t>Trays
(30 Eggs)</t>
  </si>
  <si>
    <t>Total
Eggs</t>
  </si>
  <si>
    <t>Avg Tray
Weight (g)</t>
  </si>
  <si>
    <t>Feed
Consumed (kg)</t>
  </si>
  <si>
    <t>Stone/Grit
Consumed (kg)</t>
  </si>
  <si>
    <t>Water
Intake (L)</t>
  </si>
  <si>
    <t>Automated FCR
(kg/Doz)</t>
  </si>
  <si>
    <t>Laying
Percentage (%)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</si>
  <si>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</si>
  <si>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</si>
  <si>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</si>
  <si>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</si>
  <si>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</si>
  <si>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</si>
  <si>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</si>
  <si>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</si>
  <si>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</si>
  <si>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</si>
  <si>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</si>
  <si>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</si>
  <si>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</si>
  <si>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</si>
  <si>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</si>
  <si>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</si>
  <si>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</si>
  <si>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</si>
  <si>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</si>
  <si>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</si>
  <si>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</si>
  <si>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</si>
  <si>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</si>
  <si>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</si>
  <si>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</si>
  <si>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</si>
  <si>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</si>
  <si>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</si>
  <si>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</si>
  <si>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</si>
  <si>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</si>
  <si>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Total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</si>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</sst>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0.0"/>
      <color rgb="FF555555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  <fill>
      <patternFill patternType="solid">
        <fgColor rgb="FFE8EEF5"/>
        <bgColor rgb="FFE8EEF5"/>
      </patternFill>
    </fill>
  </fills>
  <borders count="4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top style="thin">
        <color rgb="FF1B365D"/>
      </top>
      <bottom style="double">
        <color rgb="FF1B365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right"/>
    </xf>
    <xf borderId="2" fillId="0" fontId="4" numFmtId="3" xfId="0" applyAlignment="1" applyBorder="1" applyFont="1" applyNumberFormat="1">
      <alignment horizontal="right"/>
    </xf>
    <xf borderId="2" fillId="0" fontId="4" numFmtId="3" xfId="0" applyAlignment="1" applyBorder="1" applyFont="1" applyNumberFormat="1">
      <alignment horizontal="right" readingOrder="0"/>
    </xf>
    <xf borderId="2" fillId="0" fontId="4" numFmtId="2" xfId="0" applyAlignment="1" applyBorder="1" applyFont="1" applyNumberFormat="1">
      <alignment horizontal="right"/>
    </xf>
    <xf borderId="2" fillId="0" fontId="4" numFmtId="164" xfId="0" applyAlignment="1" applyBorder="1" applyFont="1" applyNumberFormat="1">
      <alignment horizontal="right"/>
    </xf>
    <xf borderId="2" fillId="3" fontId="4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right"/>
    </xf>
    <xf borderId="2" fillId="3" fontId="4" numFmtId="3" xfId="0" applyAlignment="1" applyBorder="1" applyFill="1" applyFont="1" applyNumberFormat="1">
      <alignment horizontal="right"/>
    </xf>
    <xf borderId="2" fillId="3" fontId="4" numFmtId="2" xfId="0" applyAlignment="1" applyBorder="1" applyFill="1" applyFont="1" applyNumberFormat="1">
      <alignment horizontal="right"/>
    </xf>
    <xf borderId="2" fillId="3" fontId="4" numFmtId="164" xfId="0" applyAlignment="1" applyBorder="1" applyFill="1" applyFont="1" applyNumberFormat="1">
      <alignment horizontal="right"/>
    </xf>
    <xf borderId="3" fillId="4" fontId="5" numFmtId="0" xfId="0" applyAlignment="1" applyBorder="1" applyFill="1" applyFont="1">
      <alignment horizontal="left"/>
    </xf>
    <xf borderId="3" fillId="4" fontId="5" numFmtId="0" xfId="0" applyAlignment="1" applyBorder="1" applyFill="1" applyFont="1">
      <alignment horizontal="right"/>
    </xf>
    <xf borderId="3" fillId="4" fontId="5" numFmtId="3" xfId="0" applyAlignment="1" applyBorder="1" applyFill="1" applyFont="1" applyNumberFormat="1">
      <alignment horizontal="right"/>
    </xf>
    <xf borderId="3" fillId="4" fontId="5" numFmtId="2" xfId="0" applyAlignment="1" applyBorder="1" applyFill="1" applyFont="1" applyNumberFormat="1">
      <alignment horizontal="right"/>
    </xf>
    <xf borderId="3" fillId="4" fontId="5" numFmtId="164" xfId="0" applyAlignment="1" applyBorder="1" applyFill="1" applyFont="1" applyNumberFormat="1">
      <alignment horizontal="right"/>
    </xf>
  </cellXfs>
  <cellStyles count="1">
    <cellStyle xfId="0" name="Normal" builtinId="0"/>
  </cellStyles>
  <dxfs count="3">
    <dxf>
      <font>
        <b/>
        <color rgb="FF155724"/>
      </font>
      <fill>
        <patternFill patternType="solid">
          <fgColor rgb="FFD4EDDA"/>
          <bgColor rgb="FFD4EDDA"/>
        </patternFill>
      </fill>
      <border/>
    </dxf>
    <dxf>
      <font>
        <b/>
        <color rgb="FF721C24"/>
      </font>
      <fill>
        <patternFill patternType="solid">
          <fgColor rgb="FFF8D7DA"/>
          <bgColor rgb="FFF8D7DA"/>
        </patternFill>
      </fill>
      <border/>
    </dxf>
    <dxf>
      <font>
        <b/>
        <color rgb="FF856404"/>
      </font>
      <fill>
        <patternFill patternType="solid">
          <fgColor rgb="FFFFF3CD"/>
          <bgColor rgb="FFFFF3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6.57"/>
    <col customWidth="1" min="3" max="3" width="9.29"/>
    <col customWidth="1" min="4" max="4" width="10.0"/>
    <col customWidth="1" min="5" max="5" width="8.0"/>
    <col customWidth="1" min="6" max="6" width="10.71"/>
    <col customWidth="1" min="7" max="7" width="8.14"/>
    <col customWidth="1" min="8" max="8" width="8.71"/>
    <col customWidth="1" min="9" max="9" width="8.29"/>
    <col customWidth="1" min="10" max="10" width="7.57"/>
    <col customWidth="1" min="11" max="11" width="9.29"/>
    <col customWidth="1" min="12" max="12" width="7.71"/>
    <col customWidth="1" min="13" max="13" width="11.0"/>
    <col customWidth="1" min="14" max="14" width="7.71"/>
    <col customWidth="1" min="15" max="26" width="8.71"/>
  </cols>
  <sheetData>
    <row r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>
      <c r="A5" s="4" t="s">
        <v>16</v>
      </c>
      <c r="B5" s="5">
        <v>130.0</v>
      </c>
      <c r="C5" s="6">
        <v>5200.0</v>
      </c>
      <c r="D5" s="7">
        <v>2.0</v>
      </c>
      <c r="E5" s="6">
        <v>0.0</v>
      </c>
      <c r="F5" s="6">
        <f t="shared" ref="F5:F35" si="1">C5-D5-E5</f>
        <v>5198</v>
      </c>
      <c r="G5" s="6">
        <v>28.0</v>
      </c>
      <c r="H5" s="6">
        <f>G5*30</f>
        <v>840</v>
      </c>
      <c r="I5" s="6">
        <v>1237.0</v>
      </c>
      <c r="J5" s="6">
        <v>650.0</v>
      </c>
      <c r="K5" s="6">
        <v>25.0</v>
      </c>
      <c r="L5" s="6">
        <v>1100.0</v>
      </c>
      <c r="M5" s="8">
        <f>IF(H5&gt;0, J5/(H5/12), "")</f>
        <v>9.285714286</v>
      </c>
      <c r="N5" s="9">
        <f>IF(F5&gt;0, H5/F5, "")</f>
        <v>0.1616006156</v>
      </c>
    </row>
    <row r="6">
      <c r="A6" s="10" t="s">
        <v>17</v>
      </c>
      <c r="B6" s="11">
        <v>131.0</v>
      </c>
      <c r="C6" s="12">
        <f t="shared" ref="C6:C35" si="2">F5</f>
        <v>5198</v>
      </c>
      <c r="D6" s="12"/>
      <c r="E6" s="12"/>
      <c r="F6" s="12">
        <f t="shared" si="1"/>
        <v>5198</v>
      </c>
      <c r="G6" s="12"/>
      <c r="H6" s="12" t="str">
        <f t="shared" ref="H6:H35" si="3">IF(G6&lt;&gt;"", G6*30, "")</f>
        <v/>
      </c>
      <c r="I6" s="12"/>
      <c r="J6" s="12"/>
      <c r="K6" s="12"/>
      <c r="L6" s="12"/>
      <c r="M6" s="13" t="str">
        <f t="shared" ref="M6:M35" si="4">IF(AND(J6&lt;&gt;"", N6&lt;&gt;""), J6/(H6/12), "")</f>
        <v/>
      </c>
      <c r="N6" s="14" t="str">
        <f t="shared" ref="N6:N35" si="5">IF(AND(F6&gt;0, G6&lt;&gt;""), H6/F6, "")</f>
        <v/>
      </c>
    </row>
    <row r="7">
      <c r="A7" s="4" t="s">
        <v>18</v>
      </c>
      <c r="B7" s="5">
        <v>132.0</v>
      </c>
      <c r="C7" s="6">
        <f t="shared" si="2"/>
        <v>5198</v>
      </c>
      <c r="D7" s="6"/>
      <c r="E7" s="6"/>
      <c r="F7" s="6">
        <f t="shared" si="1"/>
        <v>5198</v>
      </c>
      <c r="G7" s="6"/>
      <c r="H7" s="6" t="str">
        <f t="shared" si="3"/>
        <v/>
      </c>
      <c r="I7" s="6"/>
      <c r="J7" s="6"/>
      <c r="K7" s="6"/>
      <c r="L7" s="6"/>
      <c r="M7" s="8" t="str">
        <f t="shared" si="4"/>
        <v/>
      </c>
      <c r="N7" s="9" t="str">
        <f t="shared" si="5"/>
        <v/>
      </c>
    </row>
    <row r="8">
      <c r="A8" s="10" t="s">
        <v>19</v>
      </c>
      <c r="B8" s="11">
        <v>133.0</v>
      </c>
      <c r="C8" s="12">
        <f t="shared" si="2"/>
        <v>5198</v>
      </c>
      <c r="D8" s="12"/>
      <c r="E8" s="12"/>
      <c r="F8" s="12">
        <f t="shared" si="1"/>
        <v>5198</v>
      </c>
      <c r="G8" s="12"/>
      <c r="H8" s="12" t="str">
        <f t="shared" si="3"/>
        <v/>
      </c>
      <c r="I8" s="12"/>
      <c r="J8" s="12"/>
      <c r="K8" s="12"/>
      <c r="L8" s="12"/>
      <c r="M8" s="13" t="str">
        <f t="shared" si="4"/>
        <v/>
      </c>
      <c r="N8" s="14" t="str">
        <f t="shared" si="5"/>
        <v/>
      </c>
    </row>
    <row r="9">
      <c r="A9" s="4" t="s">
        <v>20</v>
      </c>
      <c r="B9" s="5">
        <v>134.0</v>
      </c>
      <c r="C9" s="6">
        <f t="shared" si="2"/>
        <v>5198</v>
      </c>
      <c r="D9" s="6"/>
      <c r="E9" s="6"/>
      <c r="F9" s="6">
        <f t="shared" si="1"/>
        <v>5198</v>
      </c>
      <c r="G9" s="6"/>
      <c r="H9" s="6" t="str">
        <f t="shared" si="3"/>
        <v/>
      </c>
      <c r="I9" s="6"/>
      <c r="J9" s="6"/>
      <c r="K9" s="6"/>
      <c r="L9" s="6"/>
      <c r="M9" s="8" t="str">
        <f t="shared" si="4"/>
        <v/>
      </c>
      <c r="N9" s="9" t="str">
        <f t="shared" si="5"/>
        <v/>
      </c>
    </row>
    <row r="10">
      <c r="A10" s="10" t="s">
        <v>21</v>
      </c>
      <c r="B10" s="11">
        <v>135.0</v>
      </c>
      <c r="C10" s="12">
        <f t="shared" si="2"/>
        <v>5198</v>
      </c>
      <c r="D10" s="12"/>
      <c r="E10" s="12"/>
      <c r="F10" s="12">
        <f t="shared" si="1"/>
        <v>5198</v>
      </c>
      <c r="G10" s="12"/>
      <c r="H10" s="12" t="str">
        <f t="shared" si="3"/>
        <v/>
      </c>
      <c r="I10" s="12"/>
      <c r="J10" s="12"/>
      <c r="K10" s="12"/>
      <c r="L10" s="12"/>
      <c r="M10" s="13" t="str">
        <f t="shared" si="4"/>
        <v/>
      </c>
      <c r="N10" s="14" t="str">
        <f t="shared" si="5"/>
        <v/>
      </c>
    </row>
    <row r="11">
      <c r="A11" s="4" t="s">
        <v>22</v>
      </c>
      <c r="B11" s="5">
        <v>136.0</v>
      </c>
      <c r="C11" s="6">
        <f t="shared" si="2"/>
        <v>5198</v>
      </c>
      <c r="D11" s="6"/>
      <c r="E11" s="6"/>
      <c r="F11" s="6">
        <f t="shared" si="1"/>
        <v>5198</v>
      </c>
      <c r="G11" s="6"/>
      <c r="H11" s="6" t="str">
        <f t="shared" si="3"/>
        <v/>
      </c>
      <c r="I11" s="6"/>
      <c r="J11" s="6"/>
      <c r="K11" s="6"/>
      <c r="L11" s="6"/>
      <c r="M11" s="8" t="str">
        <f t="shared" si="4"/>
        <v/>
      </c>
      <c r="N11" s="9" t="str">
        <f t="shared" si="5"/>
        <v/>
      </c>
    </row>
    <row r="12">
      <c r="A12" s="10" t="s">
        <v>23</v>
      </c>
      <c r="B12" s="11">
        <v>137.0</v>
      </c>
      <c r="C12" s="12">
        <f t="shared" si="2"/>
        <v>5198</v>
      </c>
      <c r="D12" s="12"/>
      <c r="E12" s="12"/>
      <c r="F12" s="12">
        <f t="shared" si="1"/>
        <v>5198</v>
      </c>
      <c r="G12" s="12"/>
      <c r="H12" s="12" t="str">
        <f t="shared" si="3"/>
        <v/>
      </c>
      <c r="I12" s="12"/>
      <c r="J12" s="12"/>
      <c r="K12" s="12"/>
      <c r="L12" s="12"/>
      <c r="M12" s="13" t="str">
        <f t="shared" si="4"/>
        <v/>
      </c>
      <c r="N12" s="14" t="str">
        <f t="shared" si="5"/>
        <v/>
      </c>
    </row>
    <row r="13">
      <c r="A13" s="4" t="s">
        <v>24</v>
      </c>
      <c r="B13" s="5">
        <v>138.0</v>
      </c>
      <c r="C13" s="6">
        <f t="shared" si="2"/>
        <v>5198</v>
      </c>
      <c r="D13" s="6"/>
      <c r="E13" s="6"/>
      <c r="F13" s="6">
        <f t="shared" si="1"/>
        <v>5198</v>
      </c>
      <c r="G13" s="6"/>
      <c r="H13" s="6" t="str">
        <f t="shared" si="3"/>
        <v/>
      </c>
      <c r="I13" s="6"/>
      <c r="J13" s="6"/>
      <c r="K13" s="6"/>
      <c r="L13" s="6"/>
      <c r="M13" s="8" t="str">
        <f t="shared" si="4"/>
        <v/>
      </c>
      <c r="N13" s="9" t="str">
        <f t="shared" si="5"/>
        <v/>
      </c>
    </row>
    <row r="14">
      <c r="A14" s="10" t="s">
        <v>25</v>
      </c>
      <c r="B14" s="11">
        <v>139.0</v>
      </c>
      <c r="C14" s="12">
        <f t="shared" si="2"/>
        <v>5198</v>
      </c>
      <c r="D14" s="12"/>
      <c r="E14" s="12"/>
      <c r="F14" s="12">
        <f t="shared" si="1"/>
        <v>5198</v>
      </c>
      <c r="G14" s="12"/>
      <c r="H14" s="12" t="str">
        <f t="shared" si="3"/>
        <v/>
      </c>
      <c r="I14" s="12"/>
      <c r="J14" s="12"/>
      <c r="K14" s="12"/>
      <c r="L14" s="12"/>
      <c r="M14" s="13" t="str">
        <f t="shared" si="4"/>
        <v/>
      </c>
      <c r="N14" s="14" t="str">
        <f t="shared" si="5"/>
        <v/>
      </c>
    </row>
    <row r="15">
      <c r="A15" s="4" t="s">
        <v>26</v>
      </c>
      <c r="B15" s="5">
        <v>140.0</v>
      </c>
      <c r="C15" s="6">
        <f t="shared" si="2"/>
        <v>5198</v>
      </c>
      <c r="D15" s="6"/>
      <c r="E15" s="6"/>
      <c r="F15" s="6">
        <f t="shared" si="1"/>
        <v>5198</v>
      </c>
      <c r="G15" s="6"/>
      <c r="H15" s="6" t="str">
        <f t="shared" si="3"/>
        <v/>
      </c>
      <c r="I15" s="6"/>
      <c r="J15" s="6"/>
      <c r="K15" s="6"/>
      <c r="L15" s="6"/>
      <c r="M15" s="8" t="str">
        <f t="shared" si="4"/>
        <v/>
      </c>
      <c r="N15" s="9" t="str">
        <f t="shared" si="5"/>
        <v/>
      </c>
    </row>
    <row r="16">
      <c r="A16" s="10" t="s">
        <v>27</v>
      </c>
      <c r="B16" s="11">
        <v>141.0</v>
      </c>
      <c r="C16" s="12">
        <f t="shared" si="2"/>
        <v>5198</v>
      </c>
      <c r="D16" s="12"/>
      <c r="E16" s="12"/>
      <c r="F16" s="12">
        <f t="shared" si="1"/>
        <v>5198</v>
      </c>
      <c r="G16" s="12"/>
      <c r="H16" s="12" t="str">
        <f t="shared" si="3"/>
        <v/>
      </c>
      <c r="I16" s="12"/>
      <c r="J16" s="12"/>
      <c r="K16" s="12"/>
      <c r="L16" s="12"/>
      <c r="M16" s="13" t="str">
        <f t="shared" si="4"/>
        <v/>
      </c>
      <c r="N16" s="14" t="str">
        <f t="shared" si="5"/>
        <v/>
      </c>
    </row>
    <row r="17">
      <c r="A17" s="4" t="s">
        <v>28</v>
      </c>
      <c r="B17" s="5">
        <v>142.0</v>
      </c>
      <c r="C17" s="6">
        <f t="shared" si="2"/>
        <v>5198</v>
      </c>
      <c r="D17" s="6"/>
      <c r="E17" s="6"/>
      <c r="F17" s="6">
        <f t="shared" si="1"/>
        <v>5198</v>
      </c>
      <c r="G17" s="6"/>
      <c r="H17" s="6" t="str">
        <f t="shared" si="3"/>
        <v/>
      </c>
      <c r="I17" s="6"/>
      <c r="J17" s="6"/>
      <c r="K17" s="6"/>
      <c r="L17" s="6"/>
      <c r="M17" s="8" t="str">
        <f t="shared" si="4"/>
        <v/>
      </c>
      <c r="N17" s="9" t="str">
        <f t="shared" si="5"/>
        <v/>
      </c>
    </row>
    <row r="18">
      <c r="A18" s="10" t="s">
        <v>29</v>
      </c>
      <c r="B18" s="11">
        <v>143.0</v>
      </c>
      <c r="C18" s="12">
        <f t="shared" si="2"/>
        <v>5198</v>
      </c>
      <c r="D18" s="12"/>
      <c r="E18" s="12"/>
      <c r="F18" s="12">
        <f t="shared" si="1"/>
        <v>5198</v>
      </c>
      <c r="G18" s="12"/>
      <c r="H18" s="12" t="str">
        <f t="shared" si="3"/>
        <v/>
      </c>
      <c r="I18" s="12"/>
      <c r="J18" s="12"/>
      <c r="K18" s="12"/>
      <c r="L18" s="12"/>
      <c r="M18" s="13" t="str">
        <f t="shared" si="4"/>
        <v/>
      </c>
      <c r="N18" s="14" t="str">
        <f t="shared" si="5"/>
        <v/>
      </c>
    </row>
    <row r="19">
      <c r="A19" s="4" t="s">
        <v>30</v>
      </c>
      <c r="B19" s="5">
        <v>144.0</v>
      </c>
      <c r="C19" s="6">
        <f t="shared" si="2"/>
        <v>5198</v>
      </c>
      <c r="D19" s="6"/>
      <c r="E19" s="6"/>
      <c r="F19" s="6">
        <f t="shared" si="1"/>
        <v>5198</v>
      </c>
      <c r="G19" s="6"/>
      <c r="H19" s="6" t="str">
        <f t="shared" si="3"/>
        <v/>
      </c>
      <c r="I19" s="6"/>
      <c r="J19" s="6"/>
      <c r="K19" s="6"/>
      <c r="L19" s="6"/>
      <c r="M19" s="8" t="str">
        <f t="shared" si="4"/>
        <v/>
      </c>
      <c r="N19" s="9" t="str">
        <f t="shared" si="5"/>
        <v/>
      </c>
    </row>
    <row r="20">
      <c r="A20" s="10" t="s">
        <v>31</v>
      </c>
      <c r="B20" s="11">
        <v>145.0</v>
      </c>
      <c r="C20" s="12">
        <f t="shared" si="2"/>
        <v>5198</v>
      </c>
      <c r="D20" s="12"/>
      <c r="E20" s="12"/>
      <c r="F20" s="12">
        <f t="shared" si="1"/>
        <v>5198</v>
      </c>
      <c r="G20" s="12"/>
      <c r="H20" s="12" t="str">
        <f t="shared" si="3"/>
        <v/>
      </c>
      <c r="I20" s="12"/>
      <c r="J20" s="12"/>
      <c r="K20" s="12"/>
      <c r="L20" s="12"/>
      <c r="M20" s="13" t="str">
        <f t="shared" si="4"/>
        <v/>
      </c>
      <c r="N20" s="14" t="str">
        <f t="shared" si="5"/>
        <v/>
      </c>
    </row>
    <row r="21" ht="15.75" customHeight="1">
      <c r="A21" s="4" t="s">
        <v>32</v>
      </c>
      <c r="B21" s="5">
        <v>146.0</v>
      </c>
      <c r="C21" s="6">
        <f t="shared" si="2"/>
        <v>5198</v>
      </c>
      <c r="D21" s="6"/>
      <c r="E21" s="6"/>
      <c r="F21" s="6">
        <f t="shared" si="1"/>
        <v>5198</v>
      </c>
      <c r="G21" s="6"/>
      <c r="H21" s="6" t="str">
        <f t="shared" si="3"/>
        <v/>
      </c>
      <c r="I21" s="6"/>
      <c r="J21" s="6"/>
      <c r="K21" s="6"/>
      <c r="L21" s="6"/>
      <c r="M21" s="8" t="str">
        <f t="shared" si="4"/>
        <v/>
      </c>
      <c r="N21" s="9" t="str">
        <f t="shared" si="5"/>
        <v/>
      </c>
    </row>
    <row r="22" ht="15.75" customHeight="1">
      <c r="A22" s="10" t="s">
        <v>33</v>
      </c>
      <c r="B22" s="11">
        <v>147.0</v>
      </c>
      <c r="C22" s="12">
        <f t="shared" si="2"/>
        <v>5198</v>
      </c>
      <c r="D22" s="12"/>
      <c r="E22" s="12"/>
      <c r="F22" s="12">
        <f t="shared" si="1"/>
        <v>5198</v>
      </c>
      <c r="G22" s="12"/>
      <c r="H22" s="12" t="str">
        <f t="shared" si="3"/>
        <v/>
      </c>
      <c r="I22" s="12"/>
      <c r="J22" s="12"/>
      <c r="K22" s="12"/>
      <c r="L22" s="12"/>
      <c r="M22" s="13" t="str">
        <f t="shared" si="4"/>
        <v/>
      </c>
      <c r="N22" s="14" t="str">
        <f t="shared" si="5"/>
        <v/>
      </c>
    </row>
    <row r="23" ht="15.75" customHeight="1">
      <c r="A23" s="4" t="s">
        <v>34</v>
      </c>
      <c r="B23" s="5">
        <v>148.0</v>
      </c>
      <c r="C23" s="6">
        <f t="shared" si="2"/>
        <v>5198</v>
      </c>
      <c r="D23" s="6"/>
      <c r="E23" s="6"/>
      <c r="F23" s="6">
        <f t="shared" si="1"/>
        <v>5198</v>
      </c>
      <c r="G23" s="6"/>
      <c r="H23" s="6" t="str">
        <f t="shared" si="3"/>
        <v/>
      </c>
      <c r="I23" s="6"/>
      <c r="J23" s="6"/>
      <c r="K23" s="6"/>
      <c r="L23" s="6"/>
      <c r="M23" s="8" t="str">
        <f t="shared" si="4"/>
        <v/>
      </c>
      <c r="N23" s="9" t="str">
        <f t="shared" si="5"/>
        <v/>
      </c>
    </row>
    <row r="24" ht="15.75" customHeight="1">
      <c r="A24" s="10" t="s">
        <v>35</v>
      </c>
      <c r="B24" s="11">
        <v>149.0</v>
      </c>
      <c r="C24" s="12">
        <f t="shared" si="2"/>
        <v>5198</v>
      </c>
      <c r="D24" s="12"/>
      <c r="E24" s="12"/>
      <c r="F24" s="12">
        <f t="shared" si="1"/>
        <v>5198</v>
      </c>
      <c r="G24" s="12"/>
      <c r="H24" s="12" t="str">
        <f t="shared" si="3"/>
        <v/>
      </c>
      <c r="I24" s="12"/>
      <c r="J24" s="12"/>
      <c r="K24" s="12"/>
      <c r="L24" s="12"/>
      <c r="M24" s="13" t="str">
        <f t="shared" si="4"/>
        <v/>
      </c>
      <c r="N24" s="14" t="str">
        <f t="shared" si="5"/>
        <v/>
      </c>
    </row>
    <row r="25" ht="15.75" customHeight="1">
      <c r="A25" s="4" t="s">
        <v>36</v>
      </c>
      <c r="B25" s="5">
        <v>150.0</v>
      </c>
      <c r="C25" s="6">
        <f t="shared" si="2"/>
        <v>5198</v>
      </c>
      <c r="D25" s="6"/>
      <c r="E25" s="6"/>
      <c r="F25" s="6">
        <f t="shared" si="1"/>
        <v>5198</v>
      </c>
      <c r="G25" s="6"/>
      <c r="H25" s="6" t="str">
        <f t="shared" si="3"/>
        <v/>
      </c>
      <c r="I25" s="6"/>
      <c r="J25" s="6"/>
      <c r="K25" s="6"/>
      <c r="L25" s="6"/>
      <c r="M25" s="8" t="str">
        <f t="shared" si="4"/>
        <v/>
      </c>
      <c r="N25" s="9" t="str">
        <f t="shared" si="5"/>
        <v/>
      </c>
    </row>
    <row r="26" ht="15.75" customHeight="1">
      <c r="A26" s="10" t="s">
        <v>37</v>
      </c>
      <c r="B26" s="11">
        <v>151.0</v>
      </c>
      <c r="C26" s="12">
        <f t="shared" si="2"/>
        <v>5198</v>
      </c>
      <c r="D26" s="12"/>
      <c r="E26" s="12"/>
      <c r="F26" s="12">
        <f t="shared" si="1"/>
        <v>5198</v>
      </c>
      <c r="G26" s="12"/>
      <c r="H26" s="12" t="str">
        <f t="shared" si="3"/>
        <v/>
      </c>
      <c r="I26" s="12"/>
      <c r="J26" s="12"/>
      <c r="K26" s="12"/>
      <c r="L26" s="12"/>
      <c r="M26" s="13" t="str">
        <f t="shared" si="4"/>
        <v/>
      </c>
      <c r="N26" s="14" t="str">
        <f t="shared" si="5"/>
        <v/>
      </c>
    </row>
    <row r="27" ht="15.75" customHeight="1">
      <c r="A27" s="4" t="s">
        <v>38</v>
      </c>
      <c r="B27" s="5">
        <v>152.0</v>
      </c>
      <c r="C27" s="6">
        <f t="shared" si="2"/>
        <v>5198</v>
      </c>
      <c r="D27" s="6"/>
      <c r="E27" s="6"/>
      <c r="F27" s="6">
        <f t="shared" si="1"/>
        <v>5198</v>
      </c>
      <c r="G27" s="6"/>
      <c r="H27" s="6" t="str">
        <f t="shared" si="3"/>
        <v/>
      </c>
      <c r="I27" s="6"/>
      <c r="J27" s="6"/>
      <c r="K27" s="6"/>
      <c r="L27" s="6"/>
      <c r="M27" s="8" t="str">
        <f t="shared" si="4"/>
        <v/>
      </c>
      <c r="N27" s="9" t="str">
        <f t="shared" si="5"/>
        <v/>
      </c>
    </row>
    <row r="28" ht="15.75" customHeight="1">
      <c r="A28" s="10" t="s">
        <v>39</v>
      </c>
      <c r="B28" s="11">
        <v>153.0</v>
      </c>
      <c r="C28" s="12">
        <f t="shared" si="2"/>
        <v>5198</v>
      </c>
      <c r="D28" s="12"/>
      <c r="E28" s="12"/>
      <c r="F28" s="12">
        <f t="shared" si="1"/>
        <v>5198</v>
      </c>
      <c r="G28" s="12"/>
      <c r="H28" s="12" t="str">
        <f t="shared" si="3"/>
        <v/>
      </c>
      <c r="I28" s="12"/>
      <c r="J28" s="12"/>
      <c r="K28" s="12"/>
      <c r="L28" s="12"/>
      <c r="M28" s="13" t="str">
        <f t="shared" si="4"/>
        <v/>
      </c>
      <c r="N28" s="14" t="str">
        <f t="shared" si="5"/>
        <v/>
      </c>
    </row>
    <row r="29" ht="15.75" customHeight="1">
      <c r="A29" s="4" t="s">
        <v>40</v>
      </c>
      <c r="B29" s="5">
        <v>154.0</v>
      </c>
      <c r="C29" s="6">
        <f t="shared" si="2"/>
        <v>5198</v>
      </c>
      <c r="D29" s="6"/>
      <c r="E29" s="6"/>
      <c r="F29" s="6">
        <f t="shared" si="1"/>
        <v>5198</v>
      </c>
      <c r="G29" s="6"/>
      <c r="H29" s="6" t="str">
        <f t="shared" si="3"/>
        <v/>
      </c>
      <c r="I29" s="6"/>
      <c r="J29" s="6"/>
      <c r="K29" s="6"/>
      <c r="L29" s="6"/>
      <c r="M29" s="8" t="str">
        <f t="shared" si="4"/>
        <v/>
      </c>
      <c r="N29" s="9" t="str">
        <f t="shared" si="5"/>
        <v/>
      </c>
    </row>
    <row r="30" ht="15.75" customHeight="1">
      <c r="A30" s="10" t="s">
        <v>41</v>
      </c>
      <c r="B30" s="11">
        <v>155.0</v>
      </c>
      <c r="C30" s="12">
        <f t="shared" si="2"/>
        <v>5198</v>
      </c>
      <c r="D30" s="12"/>
      <c r="E30" s="12"/>
      <c r="F30" s="12">
        <f t="shared" si="1"/>
        <v>5198</v>
      </c>
      <c r="G30" s="12"/>
      <c r="H30" s="12" t="str">
        <f t="shared" si="3"/>
        <v/>
      </c>
      <c r="I30" s="12"/>
      <c r="J30" s="12"/>
      <c r="K30" s="12"/>
      <c r="L30" s="12"/>
      <c r="M30" s="13" t="str">
        <f t="shared" si="4"/>
        <v/>
      </c>
      <c r="N30" s="14" t="str">
        <f t="shared" si="5"/>
        <v/>
      </c>
    </row>
    <row r="31" ht="15.75" customHeight="1">
      <c r="A31" s="4" t="s">
        <v>42</v>
      </c>
      <c r="B31" s="5">
        <v>156.0</v>
      </c>
      <c r="C31" s="6">
        <f t="shared" si="2"/>
        <v>5198</v>
      </c>
      <c r="D31" s="6"/>
      <c r="E31" s="6"/>
      <c r="F31" s="6">
        <f t="shared" si="1"/>
        <v>5198</v>
      </c>
      <c r="G31" s="6"/>
      <c r="H31" s="6" t="str">
        <f t="shared" si="3"/>
        <v/>
      </c>
      <c r="I31" s="6"/>
      <c r="J31" s="6"/>
      <c r="K31" s="6"/>
      <c r="L31" s="6"/>
      <c r="M31" s="8" t="str">
        <f t="shared" si="4"/>
        <v/>
      </c>
      <c r="N31" s="9" t="str">
        <f t="shared" si="5"/>
        <v/>
      </c>
    </row>
    <row r="32" ht="15.75" customHeight="1">
      <c r="A32" s="10" t="s">
        <v>43</v>
      </c>
      <c r="B32" s="11">
        <v>157.0</v>
      </c>
      <c r="C32" s="12">
        <f t="shared" si="2"/>
        <v>5198</v>
      </c>
      <c r="D32" s="12"/>
      <c r="E32" s="12"/>
      <c r="F32" s="12">
        <f t="shared" si="1"/>
        <v>5198</v>
      </c>
      <c r="G32" s="12"/>
      <c r="H32" s="12" t="str">
        <f t="shared" si="3"/>
        <v/>
      </c>
      <c r="I32" s="12"/>
      <c r="J32" s="12"/>
      <c r="K32" s="12"/>
      <c r="L32" s="12"/>
      <c r="M32" s="13" t="str">
        <f t="shared" si="4"/>
        <v/>
      </c>
      <c r="N32" s="14" t="str">
        <f t="shared" si="5"/>
        <v/>
      </c>
    </row>
    <row r="33" ht="15.75" customHeight="1">
      <c r="A33" s="4" t="s">
        <v>44</v>
      </c>
      <c r="B33" s="5">
        <v>158.0</v>
      </c>
      <c r="C33" s="6">
        <f t="shared" si="2"/>
        <v>5198</v>
      </c>
      <c r="D33" s="6"/>
      <c r="E33" s="6"/>
      <c r="F33" s="6">
        <f t="shared" si="1"/>
        <v>5198</v>
      </c>
      <c r="G33" s="6"/>
      <c r="H33" s="6" t="str">
        <f t="shared" si="3"/>
        <v/>
      </c>
      <c r="I33" s="6"/>
      <c r="J33" s="6"/>
      <c r="K33" s="6"/>
      <c r="L33" s="6"/>
      <c r="M33" s="8" t="str">
        <f t="shared" si="4"/>
        <v/>
      </c>
      <c r="N33" s="9" t="str">
        <f t="shared" si="5"/>
        <v/>
      </c>
    </row>
    <row r="34" ht="15.75" customHeight="1">
      <c r="A34" s="10" t="s">
        <v>45</v>
      </c>
      <c r="B34" s="11">
        <v>159.0</v>
      </c>
      <c r="C34" s="12">
        <f t="shared" si="2"/>
        <v>5198</v>
      </c>
      <c r="D34" s="12"/>
      <c r="E34" s="12"/>
      <c r="F34" s="12">
        <f t="shared" si="1"/>
        <v>5198</v>
      </c>
      <c r="G34" s="12"/>
      <c r="H34" s="12" t="str">
        <f t="shared" si="3"/>
        <v/>
      </c>
      <c r="I34" s="12"/>
      <c r="J34" s="12"/>
      <c r="K34" s="12"/>
      <c r="L34" s="12"/>
      <c r="M34" s="13" t="str">
        <f t="shared" si="4"/>
        <v/>
      </c>
      <c r="N34" s="14" t="str">
        <f t="shared" si="5"/>
        <v/>
      </c>
    </row>
    <row r="35" ht="15.75" customHeight="1">
      <c r="A35" s="4" t="s">
        <v>46</v>
      </c>
      <c r="B35" s="5">
        <v>160.0</v>
      </c>
      <c r="C35" s="6">
        <f t="shared" si="2"/>
        <v>5198</v>
      </c>
      <c r="D35" s="6"/>
      <c r="E35" s="6"/>
      <c r="F35" s="6">
        <f t="shared" si="1"/>
        <v>5198</v>
      </c>
      <c r="G35" s="6"/>
      <c r="H35" s="6" t="str">
        <f t="shared" si="3"/>
        <v/>
      </c>
      <c r="I35" s="6"/>
      <c r="J35" s="6"/>
      <c r="K35" s="6"/>
      <c r="L35" s="6"/>
      <c r="M35" s="8" t="str">
        <f t="shared" si="4"/>
        <v/>
      </c>
      <c r="N35" s="9" t="str">
        <f t="shared" si="5"/>
        <v/>
      </c>
    </row>
    <row r="36" ht="15.75" customHeight="1">
      <c r="A36" s="15" t="s">
        <v>47</v>
      </c>
      <c r="B36" s="16"/>
      <c r="C36" s="17"/>
      <c r="D36" s="17">
        <f t="shared" ref="D36:E36" si="6">SUM(D5:D35)</f>
        <v>2</v>
      </c>
      <c r="E36" s="17">
        <f t="shared" si="6"/>
        <v>0</v>
      </c>
      <c r="F36" s="17"/>
      <c r="G36" s="17">
        <f t="shared" ref="G36:H36" si="7">SUM(G5:G35)</f>
        <v>28</v>
      </c>
      <c r="H36" s="17">
        <f t="shared" si="7"/>
        <v>840</v>
      </c>
      <c r="I36" s="17"/>
      <c r="J36" s="17">
        <f t="shared" ref="J36:L36" si="8">SUM(J5:J35)</f>
        <v>650</v>
      </c>
      <c r="K36" s="17">
        <f t="shared" si="8"/>
        <v>25</v>
      </c>
      <c r="L36" s="17">
        <f t="shared" si="8"/>
        <v>1100</v>
      </c>
      <c r="M36" s="18"/>
      <c r="N36" s="19"/>
    </row>
    <row r="37" ht="15.75" customHeight="1">
      <c r="A37" s="15" t="s">
        <v>48</v>
      </c>
      <c r="B37" s="16"/>
      <c r="C37" s="17">
        <f>AVERAGE(C5:C35)</f>
        <v>5198.064516</v>
      </c>
      <c r="D37" s="17"/>
      <c r="E37" s="17"/>
      <c r="F37" s="17">
        <f>AVERAGE(F5:F35)</f>
        <v>5198</v>
      </c>
      <c r="G37" s="17"/>
      <c r="H37" s="17"/>
      <c r="I37" s="17">
        <f>AVERAGE(I5:I35)</f>
        <v>1237</v>
      </c>
      <c r="J37" s="17"/>
      <c r="K37" s="17"/>
      <c r="L37" s="17"/>
      <c r="M37" s="18">
        <f t="shared" ref="M37:N37" si="9">AVERAGE(M5:M35)</f>
        <v>9.285714286</v>
      </c>
      <c r="N37" s="19">
        <f t="shared" si="9"/>
        <v>0.1616006156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M5:M35">
    <cfRule type="cellIs" dxfId="0" priority="1" operator="between">
      <formula>1.4</formula>
      <formula>1.55</formula>
    </cfRule>
  </conditionalFormatting>
  <conditionalFormatting sqref="M5:M35">
    <cfRule type="cellIs" dxfId="1" priority="2" operator="greaterThan">
      <formula>1.6</formula>
    </cfRule>
  </conditionalFormatting>
  <conditionalFormatting sqref="N5:N35">
    <cfRule type="cellIs" dxfId="0" priority="3" operator="greaterThanOrEqual">
      <formula>0.85</formula>
    </cfRule>
  </conditionalFormatting>
  <conditionalFormatting sqref="N5:N35">
    <cfRule type="cellIs" dxfId="2" priority="4" operator="between">
      <formula>0.5</formula>
      <formula>0.849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2026-09-05T15:33:33Z</dcterms:created>
  <dc:creator>openpyxl</dc:creator>
</cp:coreProperties>
</file>